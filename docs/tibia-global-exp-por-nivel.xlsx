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Brutos" sheetId="1" state="visible" r:id="rId1"/>
    <sheet xmlns:r="http://schemas.openxmlformats.org/officeDocument/2006/relationships" name="Medias por 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sz val="9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wrapText="1"/>
    </xf>
    <xf numFmtId="2" fontId="2" fillId="0" borderId="0" pivotButton="0" quotePrefix="0" xfId="0"/>
    <xf numFmtId="0" fontId="4" fillId="0" borderId="0" pivotButton="0" quotePrefix="0" xfId="0"/>
    <xf numFmtId="2" fontId="4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34" customWidth="1" min="4" max="4"/>
    <col width="14" customWidth="1" min="5" max="5"/>
    <col width="14" customWidth="1" min="6" max="6"/>
    <col width="62" customWidth="1" min="7" max="7"/>
    <col width="46" customWidth="1" min="8" max="8"/>
  </cols>
  <sheetData>
    <row r="1">
      <c r="A1" s="1" t="inlineStr">
        <is>
          <t>Vocacao</t>
        </is>
      </c>
      <c r="B1" s="1" t="inlineStr">
        <is>
          <t>Level</t>
        </is>
      </c>
      <c r="C1" s="1" t="inlineStr">
        <is>
          <t>Modo</t>
        </is>
      </c>
      <c r="D1" s="1" t="inlineStr">
        <is>
          <t>Local</t>
        </is>
      </c>
      <c r="E1" s="1" t="inlineStr">
        <is>
          <t>XP-h Raw (kk)</t>
        </is>
      </c>
      <c r="F1" s="1" t="inlineStr">
        <is>
          <t>Profit-h (kk)</t>
        </is>
      </c>
      <c r="G1" s="1" t="inlineStr">
        <is>
          <t>Titulo do video</t>
        </is>
      </c>
      <c r="H1" s="1" t="inlineStr">
        <is>
          <t>URL</t>
        </is>
      </c>
    </row>
    <row r="2">
      <c r="A2" s="2" t="inlineStr">
        <is>
          <t>EK</t>
        </is>
      </c>
      <c r="B2" s="2" t="n">
        <v>1148</v>
      </c>
      <c r="C2" s="2" t="inlineStr">
        <is>
          <t>Solo</t>
        </is>
      </c>
      <c r="D2" s="2" t="inlineStr">
        <is>
          <t>Grounds of Despair (Pumin)</t>
        </is>
      </c>
      <c r="E2" s="2" t="n">
        <v>8</v>
      </c>
      <c r="F2" s="2" t="n">
        <v>2.8</v>
      </c>
      <c r="G2" s="2" t="inlineStr">
        <is>
          <t>EK 1148 Hunt Solo Grounds of Despair (Pumin) 8kk/h Raw + 2.8kk Profit - Tibia Hunt [15.30]</t>
        </is>
      </c>
      <c r="H2" s="2" t="inlineStr">
        <is>
          <t>https://www.youtube.com/@TibiaHunt/videos</t>
        </is>
      </c>
    </row>
    <row r="3">
      <c r="A3" s="2" t="inlineStr">
        <is>
          <t>ED</t>
        </is>
      </c>
      <c r="B3" s="2" t="n">
        <v>1336</v>
      </c>
      <c r="C3" s="2" t="inlineStr">
        <is>
          <t>x4</t>
        </is>
      </c>
      <c r="D3" s="2" t="inlineStr">
        <is>
          <t>Putrefactory</t>
        </is>
      </c>
      <c r="E3" s="2" t="n">
        <v>17</v>
      </c>
      <c r="F3" s="2" t="n">
        <v>5.8</v>
      </c>
      <c r="G3" s="2" t="inlineStr">
        <is>
          <t>ED 1336 Hunt x4 Putrefactory 17kk/h Raw + 5.8kk Profit - Tibia Hunt [15.30]</t>
        </is>
      </c>
      <c r="H3" s="2" t="inlineStr">
        <is>
          <t>https://www.youtube.com/@TibiaHunt/videos</t>
        </is>
      </c>
    </row>
    <row r="4">
      <c r="A4" s="2" t="inlineStr">
        <is>
          <t>EK</t>
        </is>
      </c>
      <c r="B4" s="2" t="n">
        <v>442</v>
      </c>
      <c r="C4" s="2" t="inlineStr">
        <is>
          <t>Solo</t>
        </is>
      </c>
      <c r="D4" s="2" t="inlineStr">
        <is>
          <t>Kilmaresh Catacombs</t>
        </is>
      </c>
      <c r="E4" s="2" t="n">
        <v>6.2</v>
      </c>
      <c r="F4" s="2" t="n"/>
      <c r="G4" s="2" t="inlineStr">
        <is>
          <t>EK 442 Hunt Solo Kilmaresh Catacombs 6.2kk/h Raw - Tibia Hunt</t>
        </is>
      </c>
      <c r="H4" s="2" t="inlineStr">
        <is>
          <t>https://www.youtube.com/watch?v=AZnQORbwiwI</t>
        </is>
      </c>
    </row>
    <row r="5">
      <c r="A5" s="2" t="inlineStr">
        <is>
          <t>RP</t>
        </is>
      </c>
      <c r="B5" s="2" t="n">
        <v>549</v>
      </c>
      <c r="C5" s="2" t="inlineStr">
        <is>
          <t>Solo</t>
        </is>
      </c>
      <c r="D5" s="2" t="inlineStr">
        <is>
          <t>West Roshamuul</t>
        </is>
      </c>
      <c r="E5" s="2" t="n">
        <v>5.5</v>
      </c>
      <c r="F5" s="2" t="n">
        <v>1</v>
      </c>
      <c r="G5" s="2" t="inlineStr">
        <is>
          <t>RP 549 Hunt Solo West Roshamuul 5.5kk/h Raw + 1kk Profit - Tibia Hunt [13.22]</t>
        </is>
      </c>
      <c r="H5" s="2" t="inlineStr">
        <is>
          <t>https://www.youtube.com/watch?v=-FwKqsHogNc</t>
        </is>
      </c>
    </row>
    <row r="6">
      <c r="A6" s="2" t="inlineStr">
        <is>
          <t>MS</t>
        </is>
      </c>
      <c r="B6" s="2" t="n">
        <v>950</v>
      </c>
      <c r="C6" s="2" t="inlineStr">
        <is>
          <t>Solo</t>
        </is>
      </c>
      <c r="D6" s="2" t="inlineStr">
        <is>
          <t>Ingol (-3)</t>
        </is>
      </c>
      <c r="E6" s="2" t="n">
        <v>11.4</v>
      </c>
      <c r="F6" s="2" t="n">
        <v>2.3</v>
      </c>
      <c r="G6" s="2" t="inlineStr">
        <is>
          <t>MS 950+ Hunt Solo Ingol (-3) 11.4kk/h Raw + 2.3kk Profit - Tibia Hunt</t>
        </is>
      </c>
      <c r="H6" s="2" t="inlineStr">
        <is>
          <t>https://www.youtube.com/watch?v=of8kNtyAo6E</t>
        </is>
      </c>
    </row>
    <row r="7">
      <c r="A7" s="2" t="inlineStr">
        <is>
          <t>MS</t>
        </is>
      </c>
      <c r="B7" s="2" t="n">
        <v>1357</v>
      </c>
      <c r="C7" s="2" t="inlineStr">
        <is>
          <t>Solo</t>
        </is>
      </c>
      <c r="D7" s="2" t="inlineStr">
        <is>
          <t>Nimmersatt's Breeding Ground (Prey Atk)</t>
        </is>
      </c>
      <c r="E7" s="2" t="n">
        <v>10.7</v>
      </c>
      <c r="F7" s="2" t="n">
        <v>2.4</v>
      </c>
      <c r="G7" s="2" t="inlineStr">
        <is>
          <t>MS 1357 Hunt Solo Nimmersatt's Breedig Ground (Prey Atk) 10.7kk/h Raw + 2.4kk Profit - Tibia Hunt</t>
        </is>
      </c>
      <c r="H7" s="2" t="inlineStr">
        <is>
          <t>https://www.youtube.com/watch?v=LFq_-p8uBv8</t>
        </is>
      </c>
    </row>
    <row r="8">
      <c r="A8" s="2" t="inlineStr">
        <is>
          <t>EK</t>
        </is>
      </c>
      <c r="B8" s="2" t="n">
        <v>337</v>
      </c>
      <c r="C8" s="2" t="inlineStr">
        <is>
          <t>Solo</t>
        </is>
      </c>
      <c r="D8" s="2" t="inlineStr">
        <is>
          <t>Deeper Banuta</t>
        </is>
      </c>
      <c r="E8" s="2" t="n">
        <v>2.4</v>
      </c>
      <c r="F8" s="2" t="n"/>
      <c r="G8" s="2" t="inlineStr">
        <is>
          <t>EK 337 | Tibia Hunt Solo | Deeper Banuta | 2.4kk/h Raw + ...</t>
        </is>
      </c>
      <c r="H8" s="2" t="inlineStr">
        <is>
          <t>https://m.youtube.com/watch?v=tzojZrgVTTI</t>
        </is>
      </c>
    </row>
    <row r="9">
      <c r="A9" s="2" t="inlineStr">
        <is>
          <t>EK</t>
        </is>
      </c>
      <c r="B9" s="2" t="n">
        <v>1017</v>
      </c>
      <c r="C9" s="2" t="inlineStr">
        <is>
          <t>Solo</t>
        </is>
      </c>
      <c r="D9" s="2" t="inlineStr">
        <is>
          <t>Cobra Bastion</t>
        </is>
      </c>
      <c r="E9" s="2" t="n">
        <v>8.5</v>
      </c>
      <c r="F9" s="2" t="n">
        <v>1.4</v>
      </c>
      <c r="G9" s="2" t="inlineStr">
        <is>
          <t>EK 1017 Hunt Solo Cobra Bastion 8.5kk/h Raw + 1.4kk Profit - Tibia Hunt [13.36]</t>
        </is>
      </c>
      <c r="H9" s="2" t="inlineStr">
        <is>
          <t>https://www.youtube.com/watch?v=SibTSz63Bn4</t>
        </is>
      </c>
    </row>
    <row r="10">
      <c r="A10" s="2" t="inlineStr">
        <is>
          <t>EK</t>
        </is>
      </c>
      <c r="B10" s="2" t="n">
        <v>100</v>
      </c>
      <c r="C10" s="2" t="inlineStr">
        <is>
          <t>Solo</t>
        </is>
      </c>
      <c r="D10" s="2" t="inlineStr">
        <is>
          <t>Cult Carlin</t>
        </is>
      </c>
      <c r="E10" s="2" t="n">
        <v>1.75</v>
      </c>
      <c r="F10" s="2" t="n"/>
      <c r="G10" s="2" t="inlineStr">
        <is>
          <t>[EK 100+] Hunt Knight Solo Cult Carlin | 1.75kk/h | Fast Exp - Tibia</t>
        </is>
      </c>
      <c r="H10" s="2" t="inlineStr">
        <is>
          <t>https://www.youtube.com/watch?v=oqsAevOlH4Q</t>
        </is>
      </c>
    </row>
    <row r="11">
      <c r="A11" s="2" t="inlineStr">
        <is>
          <t>EK</t>
        </is>
      </c>
      <c r="B11" s="2" t="n">
        <v>100</v>
      </c>
      <c r="C11" s="2" t="inlineStr">
        <is>
          <t>Solo</t>
        </is>
      </c>
      <c r="D11" s="2" t="inlineStr">
        <is>
          <t>Drefia Wyrm Caves</t>
        </is>
      </c>
      <c r="E11" s="2" t="n">
        <v>1</v>
      </c>
      <c r="F11" s="2" t="n"/>
      <c r="G11" s="2" t="inlineStr">
        <is>
          <t>EK SOLO LVL 100+ 1KK XP/H - SKILLS 85/81 - Drefia Wyrm Caves - TIBIA HUNT</t>
        </is>
      </c>
      <c r="H11" s="2" t="inlineStr">
        <is>
          <t>https://www.youtube.com/watch?v=gvYbVcV1nDI</t>
        </is>
      </c>
    </row>
    <row r="12">
      <c r="A12" s="2" t="inlineStr">
        <is>
          <t>Mage</t>
        </is>
      </c>
      <c r="B12" s="2" t="n">
        <v>200</v>
      </c>
      <c r="C12" s="2" t="inlineStr">
        <is>
          <t>Solo</t>
        </is>
      </c>
      <c r="D12" s="2" t="inlineStr">
        <is>
          <t>(nao especificado)</t>
        </is>
      </c>
      <c r="E12" s="2" t="n">
        <v>2</v>
      </c>
      <c r="F12" s="2" t="n"/>
      <c r="G12" s="2" t="inlineStr">
        <is>
          <t>2kk XP/h na Raw SOLO! Tibia Hunt Mage lvl 200</t>
        </is>
      </c>
      <c r="H12" s="2" t="inlineStr">
        <is>
          <t>https://www.youtube.com/watch?v=yGtB8_JezHo</t>
        </is>
      </c>
    </row>
    <row r="13">
      <c r="A13" s="2" t="inlineStr">
        <is>
          <t>MS</t>
        </is>
      </c>
      <c r="B13" s="2" t="n">
        <v>400</v>
      </c>
      <c r="C13" s="2" t="inlineStr">
        <is>
          <t>x4</t>
        </is>
      </c>
      <c r="D13" s="2" t="inlineStr">
        <is>
          <t>Bulltars -2</t>
        </is>
      </c>
      <c r="E13" s="2" t="n">
        <v>5</v>
      </c>
      <c r="F13" s="2" t="n"/>
      <c r="G13" s="2" t="inlineStr">
        <is>
          <t>Tibia: Hunt Bulltars -2 - Pt x4 Lv 400+ POV Master Sorcerer - 5kk/h raw</t>
        </is>
      </c>
      <c r="H13" s="2" t="inlineStr">
        <is>
          <t>https://www.youtube.com/watch?v=rNeeXV5mPis</t>
        </is>
      </c>
    </row>
    <row r="14">
      <c r="A14" s="2" t="inlineStr">
        <is>
          <t>EK</t>
        </is>
      </c>
      <c r="B14" s="2" t="n">
        <v>309</v>
      </c>
      <c r="C14" s="2" t="inlineStr">
        <is>
          <t>x4</t>
        </is>
      </c>
      <c r="D14" s="2" t="inlineStr">
        <is>
          <t>Buried Cathedral -3</t>
        </is>
      </c>
      <c r="E14" s="2" t="n">
        <v>2.9</v>
      </c>
      <c r="F14" s="2" t="n">
        <v>0.6</v>
      </c>
      <c r="G14" s="2" t="inlineStr">
        <is>
          <t>EK 309 | Tibia Hunt x4 | Buried Cathedral -3 | 2.9kk/h Raw + 600k/h Profit</t>
        </is>
      </c>
      <c r="H14" s="2" t="inlineStr">
        <is>
          <t>https://www.youtube.com/watch?v=ma6hvVVg2d4</t>
        </is>
      </c>
    </row>
    <row r="15">
      <c r="A15" s="2" t="inlineStr">
        <is>
          <t>ED</t>
        </is>
      </c>
      <c r="B15" s="2" t="n">
        <v>300</v>
      </c>
      <c r="C15" s="2" t="inlineStr">
        <is>
          <t>x4</t>
        </is>
      </c>
      <c r="D15" s="2" t="inlineStr">
        <is>
          <t>Roshamuul Prison -3</t>
        </is>
      </c>
      <c r="E15" s="2" t="n">
        <v>4.5</v>
      </c>
      <c r="F15" s="2" t="n">
        <v>1.6</v>
      </c>
      <c r="G15" s="2" t="inlineStr">
        <is>
          <t>ED 300 Hunt x4 Roshamuul Prison -3 4.5kk/h Raw + 1.6kk Profit - Tibia Hunt [14.12]</t>
        </is>
      </c>
      <c r="H15" s="2" t="inlineStr">
        <is>
          <t>https://www.youtube.com/watch?v=HKnDFjdAN3Y</t>
        </is>
      </c>
    </row>
    <row r="16">
      <c r="A16" s="2" t="inlineStr">
        <is>
          <t>N/D</t>
        </is>
      </c>
      <c r="B16" s="2" t="n">
        <v>350</v>
      </c>
      <c r="C16" s="2" t="inlineStr">
        <is>
          <t>x4</t>
        </is>
      </c>
      <c r="D16" s="2" t="inlineStr">
        <is>
          <t>Flimsy Lost Souls</t>
        </is>
      </c>
      <c r="E16" s="2" t="n">
        <v>5.5</v>
      </c>
      <c r="F16" s="2" t="n">
        <v>1</v>
      </c>
      <c r="G16" s="2" t="inlineStr">
        <is>
          <t>Flimsy! Team Hunt x4 Hardcore! De 5 a 6kk de exp raw! y 1kk de Profit por H! 350+</t>
        </is>
      </c>
      <c r="H16" s="2" t="inlineStr">
        <is>
          <t>https://www.youtube.com/watch?v=qrCnsBVTsEw</t>
        </is>
      </c>
    </row>
    <row r="17">
      <c r="A17" s="2" t="inlineStr">
        <is>
          <t>N/D</t>
        </is>
      </c>
      <c r="B17" s="2" t="n">
        <v>400</v>
      </c>
      <c r="C17" s="2" t="inlineStr">
        <is>
          <t>x4</t>
        </is>
      </c>
      <c r="D17" s="2" t="inlineStr">
        <is>
          <t>Goanna</t>
        </is>
      </c>
      <c r="E17" s="2" t="n">
        <v>12</v>
      </c>
      <c r="F17" s="2" t="n"/>
      <c r="G17" s="2" t="inlineStr">
        <is>
          <t>Hunt x4 - Goanna - Level 400+ Raw XP ate 12kk/hora - Tibia</t>
        </is>
      </c>
      <c r="H17" s="2" t="inlineStr">
        <is>
          <t>https://www.youtube.com/watch?v=kNzyDoaobHI</t>
        </is>
      </c>
    </row>
    <row r="18">
      <c r="A18" s="2" t="inlineStr">
        <is>
          <t>N/D</t>
        </is>
      </c>
      <c r="B18" s="2" t="n">
        <v>150</v>
      </c>
      <c r="C18" s="2" t="inlineStr">
        <is>
          <t>x4</t>
        </is>
      </c>
      <c r="D18" s="2" t="inlineStr">
        <is>
          <t>Ripper Spectre</t>
        </is>
      </c>
      <c r="E18" s="2" t="n">
        <v>2.2</v>
      </c>
      <c r="F18" s="2" t="n"/>
      <c r="G18" s="2" t="inlineStr">
        <is>
          <t>Tibia - Hunt Ripper Spectre PT X4 LVL 150+ 2.2kk Raw - Tibia Hunt</t>
        </is>
      </c>
      <c r="H18" s="2" t="inlineStr">
        <is>
          <t>https://www.youtube.com/watch?v=yaB9T--O3Ek</t>
        </is>
      </c>
    </row>
    <row r="20">
      <c r="A20" s="3" t="inlineStr">
        <is>
          <t>Fonte: titulos de videos do canal youtube.com/@TibiaHunt (e videos de outros criadores achados via busca referenciando o mesmo formato de titulo). XP/h 'Raw' e o valor bruto de experiencia por hora mostrado pelo Hunt Analyzer do jogo, por personagem (mesmo em grupo). Coletado em 2026-08-06.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0" customWidth="1" min="4" max="4"/>
    <col width="14" customWidth="1" min="5" max="5"/>
    <col width="22" customWidth="1" min="6" max="6"/>
    <col width="14" customWidth="1" min="7" max="7"/>
    <col width="14" customWidth="1" min="8" max="8"/>
  </cols>
  <sheetData>
    <row r="1">
      <c r="A1" s="4" t="inlineStr">
        <is>
          <t>Faixa de nivel</t>
        </is>
      </c>
      <c r="B1" s="4" t="inlineStr">
        <is>
          <t>Nivel min</t>
        </is>
      </c>
      <c r="C1" s="4" t="inlineStr">
        <is>
          <t>Nivel max</t>
        </is>
      </c>
      <c r="D1" s="4" t="inlineStr">
        <is>
          <t>Media XP-h Solo (kk)</t>
        </is>
      </c>
      <c r="E1" s="4" t="inlineStr">
        <is>
          <t>Amostras Solo</t>
        </is>
      </c>
      <c r="F1" s="4" t="inlineStr">
        <is>
          <t>Media XP-h Grupo x4 (kk)</t>
        </is>
      </c>
      <c r="G1" s="4" t="inlineStr">
        <is>
          <t>Amostras Grupo</t>
        </is>
      </c>
      <c r="H1" s="4" t="inlineStr">
        <is>
          <t>Grupo / Solo</t>
        </is>
      </c>
    </row>
    <row r="2">
      <c r="A2" s="2" t="inlineStr">
        <is>
          <t>1-150</t>
        </is>
      </c>
      <c r="B2" s="2" t="n">
        <v>1</v>
      </c>
      <c r="C2" s="2" t="n">
        <v>150</v>
      </c>
      <c r="D2" s="5">
        <f>IFERROR(AVERAGEIFS('Dados Brutos'!$E$2:$E$18,'Dados Brutos'!$B$2:$B$18,"&gt;="&amp;B2,'Dados Brutos'!$B$2:$B$18,"&lt;="&amp;C2,'Dados Brutos'!$C$2:$C$18,"Solo"),"sem dados")</f>
        <v/>
      </c>
      <c r="E2" s="2">
        <f>COUNTIFS('Dados Brutos'!$B$2:$B$18,"&gt;="&amp;B2,'Dados Brutos'!$B$2:$B$18,"&lt;="&amp;C2,'Dados Brutos'!$C$2:$C$18,"Solo")</f>
        <v/>
      </c>
      <c r="F2" s="5">
        <f>IFERROR(AVERAGEIFS('Dados Brutos'!$E$2:$E$18,'Dados Brutos'!$B$2:$B$18,"&gt;="&amp;B2,'Dados Brutos'!$B$2:$B$18,"&lt;="&amp;C2,'Dados Brutos'!$C$2:$C$18,"x4"),"sem dados")</f>
        <v/>
      </c>
      <c r="G2" s="2">
        <f>COUNTIFS('Dados Brutos'!$B$2:$B$18,"&gt;="&amp;B2,'Dados Brutos'!$B$2:$B$18,"&lt;="&amp;C2,'Dados Brutos'!$C$2:$C$18,"x4")</f>
        <v/>
      </c>
      <c r="H2" s="5">
        <f>IFERROR(F2/D2,"n/a")</f>
        <v/>
      </c>
    </row>
    <row r="3">
      <c r="A3" s="2" t="inlineStr">
        <is>
          <t>151-350</t>
        </is>
      </c>
      <c r="B3" s="2" t="n">
        <v>151</v>
      </c>
      <c r="C3" s="2" t="n">
        <v>350</v>
      </c>
      <c r="D3" s="5">
        <f>IFERROR(AVERAGEIFS('Dados Brutos'!$E$2:$E$18,'Dados Brutos'!$B$2:$B$18,"&gt;="&amp;B3,'Dados Brutos'!$B$2:$B$18,"&lt;="&amp;C3,'Dados Brutos'!$C$2:$C$18,"Solo"),"sem dados")</f>
        <v/>
      </c>
      <c r="E3" s="2">
        <f>COUNTIFS('Dados Brutos'!$B$2:$B$18,"&gt;="&amp;B3,'Dados Brutos'!$B$2:$B$18,"&lt;="&amp;C3,'Dados Brutos'!$C$2:$C$18,"Solo")</f>
        <v/>
      </c>
      <c r="F3" s="5">
        <f>IFERROR(AVERAGEIFS('Dados Brutos'!$E$2:$E$18,'Dados Brutos'!$B$2:$B$18,"&gt;="&amp;B3,'Dados Brutos'!$B$2:$B$18,"&lt;="&amp;C3,'Dados Brutos'!$C$2:$C$18,"x4"),"sem dados")</f>
        <v/>
      </c>
      <c r="G3" s="2">
        <f>COUNTIFS('Dados Brutos'!$B$2:$B$18,"&gt;="&amp;B3,'Dados Brutos'!$B$2:$B$18,"&lt;="&amp;C3,'Dados Brutos'!$C$2:$C$18,"x4")</f>
        <v/>
      </c>
      <c r="H3" s="5">
        <f>IFERROR(F3/D3,"n/a")</f>
        <v/>
      </c>
    </row>
    <row r="4">
      <c r="A4" s="2" t="inlineStr">
        <is>
          <t>351-600</t>
        </is>
      </c>
      <c r="B4" s="2" t="n">
        <v>351</v>
      </c>
      <c r="C4" s="2" t="n">
        <v>600</v>
      </c>
      <c r="D4" s="5">
        <f>IFERROR(AVERAGEIFS('Dados Brutos'!$E$2:$E$18,'Dados Brutos'!$B$2:$B$18,"&gt;="&amp;B4,'Dados Brutos'!$B$2:$B$18,"&lt;="&amp;C4,'Dados Brutos'!$C$2:$C$18,"Solo"),"sem dados")</f>
        <v/>
      </c>
      <c r="E4" s="2">
        <f>COUNTIFS('Dados Brutos'!$B$2:$B$18,"&gt;="&amp;B4,'Dados Brutos'!$B$2:$B$18,"&lt;="&amp;C4,'Dados Brutos'!$C$2:$C$18,"Solo")</f>
        <v/>
      </c>
      <c r="F4" s="5">
        <f>IFERROR(AVERAGEIFS('Dados Brutos'!$E$2:$E$18,'Dados Brutos'!$B$2:$B$18,"&gt;="&amp;B4,'Dados Brutos'!$B$2:$B$18,"&lt;="&amp;C4,'Dados Brutos'!$C$2:$C$18,"x4"),"sem dados")</f>
        <v/>
      </c>
      <c r="G4" s="2">
        <f>COUNTIFS('Dados Brutos'!$B$2:$B$18,"&gt;="&amp;B4,'Dados Brutos'!$B$2:$B$18,"&lt;="&amp;C4,'Dados Brutos'!$C$2:$C$18,"x4")</f>
        <v/>
      </c>
      <c r="H4" s="5">
        <f>IFERROR(F4/D4,"n/a")</f>
        <v/>
      </c>
    </row>
    <row r="5">
      <c r="A5" s="2" t="inlineStr">
        <is>
          <t>601-1000</t>
        </is>
      </c>
      <c r="B5" s="2" t="n">
        <v>601</v>
      </c>
      <c r="C5" s="2" t="n">
        <v>1000</v>
      </c>
      <c r="D5" s="5">
        <f>IFERROR(AVERAGEIFS('Dados Brutos'!$E$2:$E$18,'Dados Brutos'!$B$2:$B$18,"&gt;="&amp;B5,'Dados Brutos'!$B$2:$B$18,"&lt;="&amp;C5,'Dados Brutos'!$C$2:$C$18,"Solo"),"sem dados")</f>
        <v/>
      </c>
      <c r="E5" s="2">
        <f>COUNTIFS('Dados Brutos'!$B$2:$B$18,"&gt;="&amp;B5,'Dados Brutos'!$B$2:$B$18,"&lt;="&amp;C5,'Dados Brutos'!$C$2:$C$18,"Solo")</f>
        <v/>
      </c>
      <c r="F5" s="5">
        <f>IFERROR(AVERAGEIFS('Dados Brutos'!$E$2:$E$18,'Dados Brutos'!$B$2:$B$18,"&gt;="&amp;B5,'Dados Brutos'!$B$2:$B$18,"&lt;="&amp;C5,'Dados Brutos'!$C$2:$C$18,"x4"),"sem dados")</f>
        <v/>
      </c>
      <c r="G5" s="2">
        <f>COUNTIFS('Dados Brutos'!$B$2:$B$18,"&gt;="&amp;B5,'Dados Brutos'!$B$2:$B$18,"&lt;="&amp;C5,'Dados Brutos'!$C$2:$C$18,"x4")</f>
        <v/>
      </c>
      <c r="H5" s="5">
        <f>IFERROR(F5/D5,"n/a")</f>
        <v/>
      </c>
    </row>
    <row r="6">
      <c r="A6" s="2" t="inlineStr">
        <is>
          <t>1001-1400</t>
        </is>
      </c>
      <c r="B6" s="2" t="n">
        <v>1001</v>
      </c>
      <c r="C6" s="2" t="n">
        <v>1400</v>
      </c>
      <c r="D6" s="5">
        <f>IFERROR(AVERAGEIFS('Dados Brutos'!$E$2:$E$18,'Dados Brutos'!$B$2:$B$18,"&gt;="&amp;B6,'Dados Brutos'!$B$2:$B$18,"&lt;="&amp;C6,'Dados Brutos'!$C$2:$C$18,"Solo"),"sem dados")</f>
        <v/>
      </c>
      <c r="E6" s="2">
        <f>COUNTIFS('Dados Brutos'!$B$2:$B$18,"&gt;="&amp;B6,'Dados Brutos'!$B$2:$B$18,"&lt;="&amp;C6,'Dados Brutos'!$C$2:$C$18,"Solo")</f>
        <v/>
      </c>
      <c r="F6" s="5">
        <f>IFERROR(AVERAGEIFS('Dados Brutos'!$E$2:$E$18,'Dados Brutos'!$B$2:$B$18,"&gt;="&amp;B6,'Dados Brutos'!$B$2:$B$18,"&lt;="&amp;C6,'Dados Brutos'!$C$2:$C$18,"x4"),"sem dados")</f>
        <v/>
      </c>
      <c r="G6" s="2">
        <f>COUNTIFS('Dados Brutos'!$B$2:$B$18,"&gt;="&amp;B6,'Dados Brutos'!$B$2:$B$18,"&lt;="&amp;C6,'Dados Brutos'!$C$2:$C$18,"x4")</f>
        <v/>
      </c>
      <c r="H6" s="5">
        <f>IFERROR(F6/D6,"n/a")</f>
        <v/>
      </c>
    </row>
    <row r="8">
      <c r="A8" s="6" t="inlineStr">
        <is>
          <t>MEDIA GERAL (todas as faixas)</t>
        </is>
      </c>
      <c r="D8" s="7">
        <f>AVERAGEIFS('Dados Brutos'!$E$2:$E$18,'Dados Brutos'!$C$2:$C$18,"Solo")</f>
        <v/>
      </c>
      <c r="F8" s="7">
        <f>AVERAGEIFS('Dados Brutos'!$E$2:$E$18,'Dados Brutos'!$C$2:$C$18,"x4")</f>
        <v/>
      </c>
      <c r="H8" s="7">
        <f>F8/D8</f>
        <v/>
      </c>
    </row>
    <row r="10">
      <c r="A10" s="8" t="inlineStr">
        <is>
          <t>Valores em 'kk' = milhoes de XP/hora (padrao usado pelos videos do Tibia). Amostra pequena (17 pontos, de videos publicos do YouTube) -- serve como referencia real de XP/hora no Tibia global, nao como media estatisticamente robusta. Faixas sem amostra de um dos dois modos mostram 'sem dados'.</t>
        </is>
      </c>
    </row>
  </sheetData>
  <mergeCells count="1">
    <mergeCell ref="A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2026-08-07T01:54:14Z</dcterms:created>
  <dcterms:modified xmlns:dcterms="http://purl.org/dc/terms/" xmlns:xsi="http://www.w3.org/2001/XMLSchema-instance" xsi:type="dcterms:W3CDTF">2026-08-07T01:54:14Z</dcterms:modified>
</cp:coreProperties>
</file>